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<sst xmlns="http://schemas.openxmlformats.org/spreadsheetml/2006/main" count="18" uniqueCount="17">
  <si>
    <t>Cost Benefit Analysis</t>
  </si>
  <si>
    <t>Assumptions</t>
  </si>
  <si>
    <t>Year (t)</t>
  </si>
  <si>
    <t>Net Cash Flow</t>
  </si>
  <si>
    <t>Discount Factor</t>
  </si>
  <si>
    <t>Present Value (PV)</t>
  </si>
  <si>
    <t>Cumulative PV</t>
  </si>
  <si>
    <t>Scenario</t>
  </si>
  <si>
    <t>Discount Rate</t>
  </si>
  <si>
    <t>NPV</t>
  </si>
  <si>
    <t>Optimistic</t>
  </si>
  <si>
    <t>Initial Investment</t>
  </si>
  <si>
    <t>Baseline</t>
  </si>
  <si>
    <t>Annual Savings</t>
  </si>
  <si>
    <t>Conservative</t>
  </si>
  <si>
    <t>System Lifespan</t>
  </si>
  <si>
    <t>NPV: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</si>
</sst>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₹]#,##0.00"/>
    <numFmt numFmtId="165" formatCode="&quot;₹&quot;#,##0;[Red]\(&quot;₹&quot;#,##0\)"/>
  </numFmts>
  <fonts count="7">
    <font>
      <sz val="10.0"/>
      <color rgb="FF000000"/>
      <name val="Arial"/>
      <scheme val="minor"/>
    </font>
    <font>
      <sz val="10.0"/>
      <color theme="1"/>
      <name val="Roboto"/>
    </font>
    <font>
      <b/>
      <sz val="14.0"/>
      <color rgb="FFFFFFFF"/>
      <name val="Montserrat"/>
    </font>
    <font>
      <b/>
      <sz val="10.0"/>
      <color theme="1"/>
      <name val="Montserrat"/>
    </font>
    <font/>
    <font>
      <sz val="10.0"/>
      <color rgb="FF0000FF"/>
      <name val="Roboto"/>
    </font>
    <font>
      <b/>
      <sz val="10.0"/>
      <color theme="1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19237C"/>
        <bgColor rgb="FF19237C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FFF2CC"/>
        <bgColor rgb="FFFFF2CC"/>
      </patternFill>
    </fill>
  </fills>
  <borders count="1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FFFFFF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horizontal="center" readingOrder="0" vertical="center"/>
    </xf>
    <xf borderId="0" fillId="3" fontId="1" numFmtId="0" xfId="0" applyAlignment="1" applyFill="1" applyFont="1">
      <alignment horizontal="center" readingOrder="0"/>
    </xf>
    <xf borderId="0" fillId="3" fontId="1" numFmtId="0" xfId="0" applyFont="1"/>
    <xf borderId="0" fillId="0" fontId="1" numFmtId="0" xfId="0" applyAlignment="1" applyFont="1">
      <alignment readingOrder="0"/>
    </xf>
    <xf borderId="1" fillId="4" fontId="3" numFmtId="0" xfId="0" applyAlignment="1" applyBorder="1" applyFill="1" applyFont="1">
      <alignment horizontal="center" readingOrder="0"/>
    </xf>
    <xf borderId="2" fillId="0" fontId="4" numFmtId="0" xfId="0" applyBorder="1" applyFont="1"/>
    <xf borderId="3" fillId="4" fontId="3" numFmtId="0" xfId="0" applyAlignment="1" applyBorder="1" applyFont="1">
      <alignment readingOrder="0"/>
    </xf>
    <xf borderId="3" fillId="4" fontId="3" numFmtId="164" xfId="0" applyAlignment="1" applyBorder="1" applyFont="1" applyNumberFormat="1">
      <alignment readingOrder="0"/>
    </xf>
    <xf borderId="4" fillId="0" fontId="1" numFmtId="0" xfId="0" applyAlignment="1" applyBorder="1" applyFont="1">
      <alignment readingOrder="0"/>
    </xf>
    <xf borderId="5" fillId="0" fontId="5" numFmtId="10" xfId="0" applyAlignment="1" applyBorder="1" applyFont="1" applyNumberFormat="1">
      <alignment readingOrder="0"/>
    </xf>
    <xf borderId="6" fillId="0" fontId="1" numFmtId="0" xfId="0" applyAlignment="1" applyBorder="1" applyFont="1">
      <alignment readingOrder="0"/>
    </xf>
    <xf borderId="7" fillId="0" fontId="1" numFmtId="165" xfId="0" applyBorder="1" applyFont="1" applyNumberFormat="1"/>
    <xf borderId="7" fillId="0" fontId="1" numFmtId="10" xfId="0" applyAlignment="1" applyBorder="1" applyFont="1" applyNumberFormat="1">
      <alignment readingOrder="0"/>
    </xf>
    <xf borderId="8" fillId="0" fontId="1" numFmtId="165" xfId="0" applyBorder="1" applyFont="1" applyNumberFormat="1"/>
    <xf borderId="9" fillId="0" fontId="1" numFmtId="0" xfId="0" applyAlignment="1" applyBorder="1" applyFont="1">
      <alignment readingOrder="0"/>
    </xf>
    <xf borderId="9" fillId="0" fontId="5" numFmtId="10" xfId="0" applyAlignment="1" applyBorder="1" applyFont="1" applyNumberFormat="1">
      <alignment readingOrder="0"/>
    </xf>
    <xf borderId="9" fillId="0" fontId="1" numFmtId="165" xfId="0" applyBorder="1" applyFont="1" applyNumberFormat="1"/>
    <xf borderId="5" fillId="0" fontId="5" numFmtId="165" xfId="0" applyAlignment="1" applyBorder="1" applyFont="1" applyNumberFormat="1">
      <alignment readingOrder="0"/>
    </xf>
    <xf borderId="0" fillId="0" fontId="1" numFmtId="165" xfId="0" applyFont="1" applyNumberFormat="1"/>
    <xf borderId="0" fillId="0" fontId="1" numFmtId="10" xfId="0" applyFont="1" applyNumberFormat="1"/>
    <xf borderId="5" fillId="0" fontId="1" numFmtId="165" xfId="0" applyBorder="1" applyFont="1" applyNumberFormat="1"/>
    <xf borderId="10" fillId="0" fontId="1" numFmtId="0" xfId="0" applyAlignment="1" applyBorder="1" applyFont="1">
      <alignment readingOrder="0"/>
    </xf>
    <xf borderId="10" fillId="0" fontId="5" numFmtId="10" xfId="0" applyAlignment="1" applyBorder="1" applyFont="1" applyNumberFormat="1">
      <alignment readingOrder="0"/>
    </xf>
    <xf borderId="10" fillId="0" fontId="1" numFmtId="165" xfId="0" applyBorder="1" applyFont="1" applyNumberFormat="1"/>
    <xf borderId="11" fillId="0" fontId="1" numFmtId="0" xfId="0" applyAlignment="1" applyBorder="1" applyFont="1">
      <alignment readingOrder="0"/>
    </xf>
    <xf borderId="11" fillId="0" fontId="5" numFmtId="10" xfId="0" applyAlignment="1" applyBorder="1" applyFont="1" applyNumberFormat="1">
      <alignment readingOrder="0"/>
    </xf>
    <xf borderId="11" fillId="0" fontId="1" numFmtId="165" xfId="0" applyBorder="1" applyFont="1" applyNumberFormat="1"/>
    <xf borderId="12" fillId="0" fontId="1" numFmtId="0" xfId="0" applyAlignment="1" applyBorder="1" applyFont="1">
      <alignment readingOrder="0"/>
    </xf>
    <xf borderId="13" fillId="0" fontId="5" numFmtId="0" xfId="0" applyAlignment="1" applyBorder="1" applyFont="1">
      <alignment readingOrder="0"/>
    </xf>
    <xf borderId="4" fillId="5" fontId="1" numFmtId="0" xfId="0" applyAlignment="1" applyBorder="1" applyFill="1" applyFont="1">
      <alignment readingOrder="0"/>
    </xf>
    <xf borderId="0" fillId="5" fontId="1" numFmtId="165" xfId="0" applyFont="1" applyNumberFormat="1"/>
    <xf borderId="0" fillId="5" fontId="1" numFmtId="10" xfId="0" applyFont="1" applyNumberFormat="1"/>
    <xf borderId="5" fillId="5" fontId="1" numFmtId="165" xfId="0" applyBorder="1" applyFont="1" applyNumberFormat="1"/>
    <xf borderId="0" fillId="0" fontId="1" numFmtId="164" xfId="0" applyFont="1" applyNumberFormat="1"/>
    <xf borderId="0" fillId="0" fontId="1" numFmtId="10" xfId="0" applyFont="1" applyNumberFormat="1"/>
    <xf borderId="1" fillId="0" fontId="6" numFmtId="0" xfId="0" applyAlignment="1" applyBorder="1" applyFont="1">
      <alignment readingOrder="0"/>
    </xf>
    <xf borderId="14" fillId="0" fontId="4" numFmtId="0" xfId="0" applyBorder="1" applyFont="1"/>
    <xf borderId="15" fillId="0" fontId="4" numFmtId="0" xfId="0" applyBorder="1" applyFont="1"/>
    <xf borderId="16" fillId="0" fontId="6" numFmtId="165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75"/>
    <col customWidth="1" min="2" max="2" width="13.38"/>
    <col customWidth="1" min="3" max="3" width="7.88"/>
    <col customWidth="1" min="4" max="4" width="12.63"/>
    <col customWidth="1" min="5" max="5" width="7.13"/>
    <col customWidth="1" min="6" max="6" width="13.5"/>
    <col customWidth="1" min="7" max="7" width="14.88"/>
    <col customWidth="1" min="8" max="8" width="17.25"/>
    <col customWidth="1" min="9" max="9" width="13.88"/>
    <col customWidth="1" min="11" max="11" width="10.63"/>
    <col customWidth="1" min="12" max="12" width="13.25"/>
    <col customWidth="1" min="13" max="13" width="12.38"/>
    <col customWidth="1" min="14" max="14" width="14.75"/>
    <col customWidth="1" min="15" max="15" width="11.7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0</v>
      </c>
      <c r="N2" s="3"/>
      <c r="O2" s="3"/>
      <c r="P2" s="3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"/>
      <c r="N3" s="3"/>
      <c r="O3" s="3"/>
      <c r="P3" s="3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5"/>
      <c r="B5" s="6" t="s">
        <v>1</v>
      </c>
      <c r="C5" s="7"/>
      <c r="D5" s="1"/>
      <c r="E5" s="8" t="s">
        <v>2</v>
      </c>
      <c r="F5" s="8" t="s">
        <v>3</v>
      </c>
      <c r="G5" s="8" t="s">
        <v>4</v>
      </c>
      <c r="H5" s="8" t="s">
        <v>5</v>
      </c>
      <c r="I5" s="8" t="s">
        <v>6</v>
      </c>
      <c r="J5" s="1"/>
      <c r="K5" s="8" t="s">
        <v>7</v>
      </c>
      <c r="L5" s="9" t="s">
        <v>8</v>
      </c>
      <c r="M5" s="8" t="s">
        <v>9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0" t="s">
        <v>8</v>
      </c>
      <c r="C6" s="11">
        <v>0.08</v>
      </c>
      <c r="D6" s="1"/>
      <c r="E6" s="12">
        <v>0.0</v>
      </c>
      <c r="F6" s="13">
        <f>C7</f>
        <v>-60000</v>
      </c>
      <c r="G6" s="14">
        <v>1.0</v>
      </c>
      <c r="H6" s="13">
        <f t="shared" ref="H6:H31" si="1">F6*G6</f>
        <v>-60000</v>
      </c>
      <c r="I6" s="15">
        <f>H6</f>
        <v>-60000</v>
      </c>
      <c r="J6" s="1"/>
      <c r="K6" s="16" t="s">
        <v>10</v>
      </c>
      <c r="L6" s="17">
        <v>0.06</v>
      </c>
      <c r="M6" s="18">
        <f t="shared" ref="M6:M8" si="2">-(pv(L6,$C$9,$C$8))+$C$7</f>
        <v>246800.5478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0" t="s">
        <v>11</v>
      </c>
      <c r="C7" s="19">
        <v>-60000.0</v>
      </c>
      <c r="D7" s="1"/>
      <c r="E7" s="10">
        <v>1.0</v>
      </c>
      <c r="F7" s="20">
        <f t="shared" ref="F7:F31" si="3">$C$8</f>
        <v>24000</v>
      </c>
      <c r="G7" s="21">
        <f t="shared" ref="G7:G31" si="4">1/(1+$C$6)^E7</f>
        <v>0.9259259259</v>
      </c>
      <c r="H7" s="20">
        <f t="shared" si="1"/>
        <v>22222.22222</v>
      </c>
      <c r="I7" s="22">
        <f t="shared" ref="I7:I31" si="5">H7+I6</f>
        <v>-37777.77778</v>
      </c>
      <c r="J7" s="1"/>
      <c r="K7" s="23" t="s">
        <v>12</v>
      </c>
      <c r="L7" s="24">
        <v>0.08</v>
      </c>
      <c r="M7" s="25">
        <f t="shared" si="2"/>
        <v>196194.6285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0" t="s">
        <v>13</v>
      </c>
      <c r="C8" s="19">
        <v>24000.0</v>
      </c>
      <c r="D8" s="1"/>
      <c r="E8" s="10">
        <v>2.0</v>
      </c>
      <c r="F8" s="20">
        <f t="shared" si="3"/>
        <v>24000</v>
      </c>
      <c r="G8" s="21">
        <f t="shared" si="4"/>
        <v>0.8573388203</v>
      </c>
      <c r="H8" s="20">
        <f t="shared" si="1"/>
        <v>20576.13169</v>
      </c>
      <c r="I8" s="22">
        <f t="shared" si="5"/>
        <v>-17201.64609</v>
      </c>
      <c r="J8" s="1"/>
      <c r="K8" s="26" t="s">
        <v>14</v>
      </c>
      <c r="L8" s="27">
        <v>0.1</v>
      </c>
      <c r="M8" s="28">
        <f t="shared" si="2"/>
        <v>157848.9604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29" t="s">
        <v>15</v>
      </c>
      <c r="C9" s="30">
        <v>25.0</v>
      </c>
      <c r="D9" s="1"/>
      <c r="E9" s="31">
        <v>3.0</v>
      </c>
      <c r="F9" s="32">
        <f t="shared" si="3"/>
        <v>24000</v>
      </c>
      <c r="G9" s="33">
        <f t="shared" si="4"/>
        <v>0.793832241</v>
      </c>
      <c r="H9" s="32">
        <f t="shared" si="1"/>
        <v>19051.97378</v>
      </c>
      <c r="I9" s="34">
        <f t="shared" si="5"/>
        <v>1850.327694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0">
        <v>4.0</v>
      </c>
      <c r="F10" s="20">
        <f t="shared" si="3"/>
        <v>24000</v>
      </c>
      <c r="G10" s="21">
        <f t="shared" si="4"/>
        <v>0.7350298528</v>
      </c>
      <c r="H10" s="20">
        <f t="shared" si="1"/>
        <v>17640.71647</v>
      </c>
      <c r="I10" s="22">
        <f t="shared" si="5"/>
        <v>19491.04416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0">
        <v>5.0</v>
      </c>
      <c r="F11" s="20">
        <f t="shared" si="3"/>
        <v>24000</v>
      </c>
      <c r="G11" s="21">
        <f t="shared" si="4"/>
        <v>0.680583197</v>
      </c>
      <c r="H11" s="20">
        <f t="shared" si="1"/>
        <v>16333.99673</v>
      </c>
      <c r="I11" s="22">
        <f t="shared" si="5"/>
        <v>35825.04089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0">
        <v>6.0</v>
      </c>
      <c r="F12" s="20">
        <f t="shared" si="3"/>
        <v>24000</v>
      </c>
      <c r="G12" s="21">
        <f t="shared" si="4"/>
        <v>0.6301696269</v>
      </c>
      <c r="H12" s="20">
        <f t="shared" si="1"/>
        <v>15124.07105</v>
      </c>
      <c r="I12" s="22">
        <f t="shared" si="5"/>
        <v>50949.11194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0">
        <v>7.0</v>
      </c>
      <c r="F13" s="20">
        <f t="shared" si="3"/>
        <v>24000</v>
      </c>
      <c r="G13" s="21">
        <f t="shared" si="4"/>
        <v>0.5834903953</v>
      </c>
      <c r="H13" s="20">
        <f t="shared" si="1"/>
        <v>14003.76949</v>
      </c>
      <c r="I13" s="22">
        <f t="shared" si="5"/>
        <v>64952.88142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0">
        <v>8.0</v>
      </c>
      <c r="F14" s="20">
        <f t="shared" si="3"/>
        <v>24000</v>
      </c>
      <c r="G14" s="21">
        <f t="shared" si="4"/>
        <v>0.5402688845</v>
      </c>
      <c r="H14" s="20">
        <f t="shared" si="1"/>
        <v>12966.45323</v>
      </c>
      <c r="I14" s="22">
        <f t="shared" si="5"/>
        <v>77919.33465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0">
        <v>9.0</v>
      </c>
      <c r="F15" s="20">
        <f t="shared" si="3"/>
        <v>24000</v>
      </c>
      <c r="G15" s="21">
        <f t="shared" si="4"/>
        <v>0.5002489671</v>
      </c>
      <c r="H15" s="20">
        <f t="shared" si="1"/>
        <v>12005.97521</v>
      </c>
      <c r="I15" s="22">
        <f t="shared" si="5"/>
        <v>89925.30986</v>
      </c>
      <c r="J15" s="1"/>
      <c r="K15" s="5"/>
      <c r="L15" s="35"/>
      <c r="M15" s="36"/>
      <c r="N15" s="35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0">
        <v>10.0</v>
      </c>
      <c r="F16" s="20">
        <f t="shared" si="3"/>
        <v>24000</v>
      </c>
      <c r="G16" s="21">
        <f t="shared" si="4"/>
        <v>0.4631934881</v>
      </c>
      <c r="H16" s="20">
        <f t="shared" si="1"/>
        <v>11116.64371</v>
      </c>
      <c r="I16" s="22">
        <f t="shared" si="5"/>
        <v>101041.9536</v>
      </c>
      <c r="J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0">
        <v>11.0</v>
      </c>
      <c r="F17" s="20">
        <f t="shared" si="3"/>
        <v>24000</v>
      </c>
      <c r="G17" s="21">
        <f t="shared" si="4"/>
        <v>0.4288828593</v>
      </c>
      <c r="H17" s="20">
        <f t="shared" si="1"/>
        <v>10293.18862</v>
      </c>
      <c r="I17" s="22">
        <f t="shared" si="5"/>
        <v>111335.1422</v>
      </c>
      <c r="J17" s="1"/>
      <c r="N17" s="35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0">
        <v>12.0</v>
      </c>
      <c r="F18" s="20">
        <f t="shared" si="3"/>
        <v>24000</v>
      </c>
      <c r="G18" s="21">
        <f t="shared" si="4"/>
        <v>0.3971137586</v>
      </c>
      <c r="H18" s="20">
        <f t="shared" si="1"/>
        <v>9530.730208</v>
      </c>
      <c r="I18" s="22">
        <f t="shared" si="5"/>
        <v>120865.8724</v>
      </c>
      <c r="J18" s="1"/>
      <c r="N18" s="35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0">
        <v>13.0</v>
      </c>
      <c r="F19" s="20">
        <f t="shared" si="3"/>
        <v>24000</v>
      </c>
      <c r="G19" s="21">
        <f t="shared" si="4"/>
        <v>0.3676979247</v>
      </c>
      <c r="H19" s="20">
        <f t="shared" si="1"/>
        <v>8824.750192</v>
      </c>
      <c r="I19" s="22">
        <f t="shared" si="5"/>
        <v>129690.6226</v>
      </c>
      <c r="J19" s="1"/>
      <c r="N19" s="35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0">
        <v>14.0</v>
      </c>
      <c r="F20" s="20">
        <f t="shared" si="3"/>
        <v>24000</v>
      </c>
      <c r="G20" s="21">
        <f t="shared" si="4"/>
        <v>0.3404610414</v>
      </c>
      <c r="H20" s="20">
        <f t="shared" si="1"/>
        <v>8171.064993</v>
      </c>
      <c r="I20" s="22">
        <f t="shared" si="5"/>
        <v>137861.6876</v>
      </c>
      <c r="J20" s="1"/>
      <c r="K20" s="5"/>
      <c r="L20" s="35"/>
      <c r="M20" s="36"/>
      <c r="N20" s="35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0">
        <v>15.0</v>
      </c>
      <c r="F21" s="20">
        <f t="shared" si="3"/>
        <v>24000</v>
      </c>
      <c r="G21" s="21">
        <f t="shared" si="4"/>
        <v>0.315241705</v>
      </c>
      <c r="H21" s="20">
        <f t="shared" si="1"/>
        <v>7565.800919</v>
      </c>
      <c r="I21" s="22">
        <f t="shared" si="5"/>
        <v>145427.4885</v>
      </c>
      <c r="J21" s="1"/>
      <c r="K21" s="5"/>
      <c r="L21" s="35"/>
      <c r="M21" s="36"/>
      <c r="N21" s="35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0">
        <v>16.0</v>
      </c>
      <c r="F22" s="20">
        <f t="shared" si="3"/>
        <v>24000</v>
      </c>
      <c r="G22" s="21">
        <f t="shared" si="4"/>
        <v>0.2918904676</v>
      </c>
      <c r="H22" s="20">
        <f t="shared" si="1"/>
        <v>7005.371221</v>
      </c>
      <c r="I22" s="22">
        <f t="shared" si="5"/>
        <v>152432.8597</v>
      </c>
      <c r="J22" s="1"/>
      <c r="K22" s="5"/>
      <c r="L22" s="35"/>
      <c r="M22" s="36"/>
      <c r="N22" s="35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0">
        <v>17.0</v>
      </c>
      <c r="F23" s="20">
        <f t="shared" si="3"/>
        <v>24000</v>
      </c>
      <c r="G23" s="21">
        <f t="shared" si="4"/>
        <v>0.2702689514</v>
      </c>
      <c r="H23" s="20">
        <f t="shared" si="1"/>
        <v>6486.454835</v>
      </c>
      <c r="I23" s="22">
        <f t="shared" si="5"/>
        <v>158919.3146</v>
      </c>
      <c r="J23" s="1"/>
      <c r="K23" s="5"/>
      <c r="L23" s="35"/>
      <c r="M23" s="36"/>
      <c r="N23" s="35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0">
        <v>18.0</v>
      </c>
      <c r="F24" s="20">
        <f t="shared" si="3"/>
        <v>24000</v>
      </c>
      <c r="G24" s="21">
        <f t="shared" si="4"/>
        <v>0.2502490291</v>
      </c>
      <c r="H24" s="20">
        <f t="shared" si="1"/>
        <v>6005.976699</v>
      </c>
      <c r="I24" s="22">
        <f t="shared" si="5"/>
        <v>164925.2913</v>
      </c>
      <c r="J24" s="1"/>
      <c r="K24" s="5"/>
      <c r="L24" s="35"/>
      <c r="M24" s="36"/>
      <c r="N24" s="35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0">
        <v>19.0</v>
      </c>
      <c r="F25" s="20">
        <f t="shared" si="3"/>
        <v>24000</v>
      </c>
      <c r="G25" s="21">
        <f t="shared" si="4"/>
        <v>0.231712064</v>
      </c>
      <c r="H25" s="20">
        <f t="shared" si="1"/>
        <v>5561.089536</v>
      </c>
      <c r="I25" s="22">
        <f t="shared" si="5"/>
        <v>170486.3808</v>
      </c>
      <c r="J25" s="1"/>
      <c r="K25" s="5"/>
      <c r="L25" s="35"/>
      <c r="M25" s="36"/>
      <c r="N25" s="35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0">
        <v>20.0</v>
      </c>
      <c r="F26" s="20">
        <f t="shared" si="3"/>
        <v>24000</v>
      </c>
      <c r="G26" s="21">
        <f t="shared" si="4"/>
        <v>0.2145482074</v>
      </c>
      <c r="H26" s="20">
        <f t="shared" si="1"/>
        <v>5149.156978</v>
      </c>
      <c r="I26" s="22">
        <f t="shared" si="5"/>
        <v>175635.5378</v>
      </c>
      <c r="J26" s="1"/>
      <c r="K26" s="5"/>
      <c r="L26" s="35"/>
      <c r="M26" s="36"/>
      <c r="N26" s="35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0">
        <v>21.0</v>
      </c>
      <c r="F27" s="20">
        <f t="shared" si="3"/>
        <v>24000</v>
      </c>
      <c r="G27" s="21">
        <f t="shared" si="4"/>
        <v>0.1986557476</v>
      </c>
      <c r="H27" s="20">
        <f t="shared" si="1"/>
        <v>4767.737942</v>
      </c>
      <c r="I27" s="22">
        <f t="shared" si="5"/>
        <v>180403.2757</v>
      </c>
      <c r="J27" s="1"/>
      <c r="K27" s="5"/>
      <c r="L27" s="35"/>
      <c r="M27" s="36"/>
      <c r="N27" s="35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0">
        <v>22.0</v>
      </c>
      <c r="F28" s="20">
        <f t="shared" si="3"/>
        <v>24000</v>
      </c>
      <c r="G28" s="21">
        <f t="shared" si="4"/>
        <v>0.183940507</v>
      </c>
      <c r="H28" s="20">
        <f t="shared" si="1"/>
        <v>4414.572169</v>
      </c>
      <c r="I28" s="22">
        <f t="shared" si="5"/>
        <v>184817.8479</v>
      </c>
      <c r="J28" s="1"/>
      <c r="K28" s="5"/>
      <c r="L28" s="35"/>
      <c r="M28" s="36"/>
      <c r="N28" s="35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0">
        <v>23.0</v>
      </c>
      <c r="F29" s="20">
        <f t="shared" si="3"/>
        <v>24000</v>
      </c>
      <c r="G29" s="21">
        <f t="shared" si="4"/>
        <v>0.1703152843</v>
      </c>
      <c r="H29" s="20">
        <f t="shared" si="1"/>
        <v>4087.566823</v>
      </c>
      <c r="I29" s="22">
        <f t="shared" si="5"/>
        <v>188905.4147</v>
      </c>
      <c r="J29" s="1"/>
      <c r="K29" s="5"/>
      <c r="L29" s="35"/>
      <c r="M29" s="36"/>
      <c r="N29" s="35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0">
        <v>24.0</v>
      </c>
      <c r="F30" s="20">
        <f t="shared" si="3"/>
        <v>24000</v>
      </c>
      <c r="G30" s="21">
        <f t="shared" si="4"/>
        <v>0.1576993373</v>
      </c>
      <c r="H30" s="20">
        <f t="shared" si="1"/>
        <v>3784.784095</v>
      </c>
      <c r="I30" s="22">
        <f t="shared" si="5"/>
        <v>192690.1988</v>
      </c>
      <c r="J30" s="1"/>
      <c r="K30" s="5"/>
      <c r="L30" s="35"/>
      <c r="M30" s="36"/>
      <c r="N30" s="35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0">
        <v>25.0</v>
      </c>
      <c r="F31" s="20">
        <f t="shared" si="3"/>
        <v>24000</v>
      </c>
      <c r="G31" s="21">
        <f t="shared" si="4"/>
        <v>0.1460179049</v>
      </c>
      <c r="H31" s="20">
        <f t="shared" si="1"/>
        <v>3504.429718</v>
      </c>
      <c r="I31" s="22">
        <f t="shared" si="5"/>
        <v>196194.6285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37" t="s">
        <v>16</v>
      </c>
      <c r="F32" s="38"/>
      <c r="G32" s="38"/>
      <c r="H32" s="39"/>
      <c r="I32" s="40">
        <f t="array" ref="I32">NPV(C6,F7:F31)+ F6</f>
        <v>196194.6285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">
    <mergeCell ref="B5:C5"/>
    <mergeCell ref="E32:H32"/>
    <mergeCell ref="B2:M3"/>
  </mergeCells>
  <drawing r:id="rId1"/>
</worksheet>
</file>